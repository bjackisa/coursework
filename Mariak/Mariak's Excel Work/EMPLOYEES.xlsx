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ariak's Excel Work\"/>
    </mc:Choice>
  </mc:AlternateContent>
  <bookViews>
    <workbookView xWindow="0" yWindow="0" windowWidth="28800" windowHeight="12330"/>
  </bookViews>
  <sheets>
    <sheet name="Sheet1" sheetId="1" r:id="rId1"/>
    <sheet name="Sheet2" sheetId="2" r:id="rId2"/>
    <sheet name="yuuj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F6" i="1"/>
  <c r="F7" i="1"/>
  <c r="F8" i="1"/>
  <c r="F9" i="1"/>
  <c r="F10" i="1"/>
  <c r="F11" i="1"/>
  <c r="F5" i="1"/>
  <c r="E6" i="1"/>
  <c r="E7" i="1"/>
  <c r="E8" i="1"/>
  <c r="E9" i="1"/>
  <c r="E10" i="1"/>
  <c r="E11" i="1"/>
  <c r="E5" i="1"/>
  <c r="D6" i="1"/>
  <c r="D7" i="1"/>
  <c r="D8" i="1"/>
  <c r="D9" i="1"/>
  <c r="D10" i="1"/>
  <c r="D11" i="1"/>
  <c r="D5" i="1"/>
  <c r="I5" i="1" s="1"/>
  <c r="C12" i="1"/>
</calcChain>
</file>

<file path=xl/sharedStrings.xml><?xml version="1.0" encoding="utf-8"?>
<sst xmlns="http://schemas.openxmlformats.org/spreadsheetml/2006/main" count="21" uniqueCount="20">
  <si>
    <t>Total</t>
  </si>
  <si>
    <t>Name</t>
  </si>
  <si>
    <t>Basic Pay</t>
  </si>
  <si>
    <t>S.NO.</t>
  </si>
  <si>
    <t>Earning</t>
  </si>
  <si>
    <t>HRA</t>
  </si>
  <si>
    <t>DA</t>
  </si>
  <si>
    <t>Gross Salary</t>
  </si>
  <si>
    <t>Deductions</t>
  </si>
  <si>
    <t>Net Salary</t>
  </si>
  <si>
    <t>GPF</t>
  </si>
  <si>
    <t>SI</t>
  </si>
  <si>
    <t>Abdi</t>
  </si>
  <si>
    <t>Abishag</t>
  </si>
  <si>
    <t>Abishai</t>
  </si>
  <si>
    <t>Asahel</t>
  </si>
  <si>
    <t>Olivia</t>
  </si>
  <si>
    <t>Lidya</t>
  </si>
  <si>
    <t>David</t>
  </si>
  <si>
    <t>Jolis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</si>
</sst>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Fon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F15" sqref="F15"/>
    </sheetView>
  </sheetViews>
  <sheetFormatPr defaultRowHeight="15" x14ac:dyDescent="0.25"/>
  <cols>
    <col min="1" max="1" width="7.7109375" customWidth="1"/>
    <col min="6" max="6" width="11.5703125" bestFit="1" customWidth="1"/>
    <col min="7" max="7" width="11" bestFit="1" customWidth="1"/>
    <col min="9" max="9" width="10.140625" bestFit="1" customWidth="1"/>
  </cols>
  <sheetData>
    <row r="1" spans="1:10" x14ac:dyDescent="0.25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3</v>
      </c>
      <c r="B3" s="3" t="s">
        <v>1</v>
      </c>
      <c r="C3" s="3" t="s">
        <v>4</v>
      </c>
      <c r="D3" s="3"/>
      <c r="E3" s="3"/>
      <c r="F3" s="3"/>
      <c r="G3" s="3" t="s">
        <v>8</v>
      </c>
      <c r="H3" s="3"/>
      <c r="I3" s="4" t="s">
        <v>0</v>
      </c>
      <c r="J3" s="4" t="s">
        <v>9</v>
      </c>
    </row>
    <row r="4" spans="1:10" x14ac:dyDescent="0.25">
      <c r="A4" s="3"/>
      <c r="B4" s="3"/>
      <c r="C4" s="5" t="s">
        <v>2</v>
      </c>
      <c r="D4" s="4" t="s">
        <v>5</v>
      </c>
      <c r="E4" s="4" t="s">
        <v>6</v>
      </c>
      <c r="F4" s="4" t="s">
        <v>7</v>
      </c>
      <c r="G4" s="4" t="s">
        <v>10</v>
      </c>
      <c r="H4" s="4" t="s">
        <v>11</v>
      </c>
      <c r="I4" s="1"/>
      <c r="J4" s="1"/>
    </row>
    <row r="5" spans="1:10" x14ac:dyDescent="0.25">
      <c r="A5" s="1">
        <v>1</v>
      </c>
      <c r="B5" s="1" t="s">
        <v>12</v>
      </c>
      <c r="C5" s="6">
        <v>987000</v>
      </c>
      <c r="D5" s="1">
        <f>(C5/16%)</f>
        <v>6168750</v>
      </c>
      <c r="E5" s="1">
        <f>(C5/21%)</f>
        <v>4700000</v>
      </c>
      <c r="F5" s="6">
        <f>(C5-1000)</f>
        <v>986000</v>
      </c>
      <c r="G5" s="1"/>
      <c r="H5" s="1"/>
      <c r="I5" s="6">
        <f>SUM(C5:F5)</f>
        <v>12841750</v>
      </c>
      <c r="J5" s="1"/>
    </row>
    <row r="6" spans="1:10" x14ac:dyDescent="0.25">
      <c r="A6" s="1">
        <v>2</v>
      </c>
      <c r="B6" s="1" t="s">
        <v>13</v>
      </c>
      <c r="C6" s="6">
        <v>765500</v>
      </c>
      <c r="D6" s="1">
        <f t="shared" ref="D6:D11" si="0">(C6/16%)</f>
        <v>4784375</v>
      </c>
      <c r="E6" s="1">
        <f t="shared" ref="E6:E11" si="1">(C6/21%)</f>
        <v>3645238.0952380951</v>
      </c>
      <c r="F6" s="6">
        <f t="shared" ref="F6:F11" si="2">(C6-1000)</f>
        <v>764500</v>
      </c>
      <c r="G6" s="1"/>
      <c r="H6" s="1"/>
      <c r="I6" s="6">
        <f t="shared" ref="I6:I11" si="3">SUM(C6:F6)</f>
        <v>9959613.0952380951</v>
      </c>
      <c r="J6" s="1"/>
    </row>
    <row r="7" spans="1:10" x14ac:dyDescent="0.25">
      <c r="A7" s="1">
        <v>3</v>
      </c>
      <c r="B7" s="1" t="s">
        <v>14</v>
      </c>
      <c r="C7" s="6">
        <v>527500</v>
      </c>
      <c r="D7" s="1">
        <f t="shared" si="0"/>
        <v>3296875</v>
      </c>
      <c r="E7" s="1">
        <f t="shared" si="1"/>
        <v>2511904.7619047621</v>
      </c>
      <c r="F7" s="6">
        <f t="shared" si="2"/>
        <v>526500</v>
      </c>
      <c r="G7" s="1"/>
      <c r="H7" s="1"/>
      <c r="I7" s="6">
        <f t="shared" si="3"/>
        <v>6862779.7619047621</v>
      </c>
      <c r="J7" s="1"/>
    </row>
    <row r="8" spans="1:10" x14ac:dyDescent="0.25">
      <c r="A8" s="1">
        <v>4</v>
      </c>
      <c r="B8" s="1" t="s">
        <v>15</v>
      </c>
      <c r="C8" s="6">
        <v>169500</v>
      </c>
      <c r="D8" s="1">
        <f t="shared" si="0"/>
        <v>1059375</v>
      </c>
      <c r="E8" s="1">
        <f t="shared" si="1"/>
        <v>807142.85714285716</v>
      </c>
      <c r="F8" s="6">
        <f t="shared" si="2"/>
        <v>168500</v>
      </c>
      <c r="G8" s="1"/>
      <c r="H8" s="1"/>
      <c r="I8" s="6">
        <f t="shared" si="3"/>
        <v>2204517.8571428573</v>
      </c>
      <c r="J8" s="1"/>
    </row>
    <row r="9" spans="1:10" x14ac:dyDescent="0.25">
      <c r="A9" s="1">
        <v>5</v>
      </c>
      <c r="B9" s="1" t="s">
        <v>16</v>
      </c>
      <c r="C9" s="6">
        <v>448000</v>
      </c>
      <c r="D9" s="1">
        <f t="shared" si="0"/>
        <v>2800000</v>
      </c>
      <c r="E9" s="1">
        <f t="shared" si="1"/>
        <v>2133333.3333333335</v>
      </c>
      <c r="F9" s="6">
        <f t="shared" si="2"/>
        <v>447000</v>
      </c>
      <c r="G9" s="1"/>
      <c r="H9" s="1"/>
      <c r="I9" s="6">
        <f t="shared" si="3"/>
        <v>5828333.333333334</v>
      </c>
      <c r="J9" s="1"/>
    </row>
    <row r="10" spans="1:10" x14ac:dyDescent="0.25">
      <c r="A10" s="1">
        <v>6</v>
      </c>
      <c r="B10" s="1" t="s">
        <v>17</v>
      </c>
      <c r="C10" s="6">
        <v>330500</v>
      </c>
      <c r="D10" s="1">
        <f t="shared" si="0"/>
        <v>2065625</v>
      </c>
      <c r="E10" s="1">
        <f t="shared" si="1"/>
        <v>1573809.5238095238</v>
      </c>
      <c r="F10" s="6">
        <f t="shared" si="2"/>
        <v>329500</v>
      </c>
      <c r="G10" s="1"/>
      <c r="H10" s="1"/>
      <c r="I10" s="6">
        <f t="shared" si="3"/>
        <v>4299434.5238095243</v>
      </c>
      <c r="J10" s="1"/>
    </row>
    <row r="11" spans="1:10" x14ac:dyDescent="0.25">
      <c r="A11" s="1">
        <v>7</v>
      </c>
      <c r="B11" s="1" t="s">
        <v>18</v>
      </c>
      <c r="C11" s="6">
        <v>124000</v>
      </c>
      <c r="D11" s="1">
        <f t="shared" si="0"/>
        <v>775000</v>
      </c>
      <c r="E11" s="1">
        <f t="shared" si="1"/>
        <v>590476.19047619053</v>
      </c>
      <c r="F11" s="6">
        <f t="shared" si="2"/>
        <v>123000</v>
      </c>
      <c r="G11" s="1"/>
      <c r="H11" s="1"/>
      <c r="I11" s="6">
        <f t="shared" si="3"/>
        <v>1612476.1904761905</v>
      </c>
      <c r="J11" s="1"/>
    </row>
    <row r="12" spans="1:10" x14ac:dyDescent="0.25">
      <c r="A12" s="3" t="s">
        <v>0</v>
      </c>
      <c r="B12" s="3"/>
      <c r="C12" s="6">
        <f>SUM(C5:C11)</f>
        <v>3352000</v>
      </c>
      <c r="D12" s="1"/>
      <c r="E12" s="1"/>
      <c r="F12" s="1"/>
      <c r="G12" s="1"/>
      <c r="H12" s="1"/>
      <c r="I12" s="1"/>
      <c r="J12" s="1"/>
    </row>
  </sheetData>
  <mergeCells count="6">
    <mergeCell ref="B3:B4"/>
    <mergeCell ref="A3:A4"/>
    <mergeCell ref="C3:F3"/>
    <mergeCell ref="G3:H3"/>
    <mergeCell ref="A12:B12"/>
    <mergeCell ref="A1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yuujh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2026-05-11T09:28:10Z</dcterms:created>
  <dcterms:modified xsi:type="dcterms:W3CDTF">2026-05-11T10:50:07Z</dcterms:modified>
</cp:coreProperties>
</file>