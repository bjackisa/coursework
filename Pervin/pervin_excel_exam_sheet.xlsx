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mig\Desktop\"/>
    </mc:Choice>
  </mc:AlternateContent>
  <xr:revisionPtr revIDLastSave="0" documentId="8_{C7CEDD7C-732C-47D3-AEDA-17299F102841}" xr6:coauthVersionLast="45" xr6:coauthVersionMax="45" xr10:uidLastSave="{00000000-0000-0000-0000-000000000000}"/>
  <bookViews>
    <workbookView xWindow="-110" yWindow="-110" windowWidth="19420" windowHeight="10420" xr2:uid="{623279B9-0433-48A4-82F7-22E1B25B3127}"/>
  </bookViews>
  <sheets>
    <sheet name="num1" sheetId="1" r:id="rId1"/>
    <sheet name="Sheet3" sheetId="3" r:id="rId2"/>
    <sheet name="Sheet4" sheetId="4" r:id="rId3"/>
    <sheet name="Sheet5" sheetId="5" r:id="rId4"/>
    <sheet name="Sheet6" sheetId="6" r:id="rId5"/>
    <sheet name="Sheet2" sheetId="2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4" i="1"/>
  <c r="I5" i="1"/>
  <c r="I6" i="1"/>
  <c r="I7" i="1"/>
  <c r="I8" i="1"/>
  <c r="I9" i="1"/>
  <c r="I10" i="1"/>
  <c r="I4" i="1"/>
  <c r="G5" i="1"/>
  <c r="G6" i="1"/>
  <c r="G4" i="1"/>
  <c r="G8" i="1"/>
  <c r="G9" i="1"/>
  <c r="G10" i="1"/>
  <c r="G7" i="1"/>
  <c r="E5" i="1"/>
  <c r="E6" i="1"/>
  <c r="E7" i="1"/>
  <c r="E8" i="1"/>
  <c r="E9" i="1"/>
  <c r="E10" i="1"/>
  <c r="E4" i="1"/>
  <c r="D5" i="1"/>
  <c r="D6" i="1"/>
  <c r="D7" i="1"/>
  <c r="D8" i="1"/>
  <c r="D9" i="1"/>
  <c r="D10" i="1"/>
  <c r="D4" i="1"/>
</calcChain>
</file>

<file path=xl/sharedStrings.xml><?xml version="1.0" encoding="utf-8"?>
<sst xmlns="http://schemas.openxmlformats.org/spreadsheetml/2006/main" count="21" uniqueCount="20">
  <si>
    <t>S. No.</t>
  </si>
  <si>
    <t>Name</t>
  </si>
  <si>
    <t>Basic Pay</t>
  </si>
  <si>
    <t>HRA</t>
  </si>
  <si>
    <t>DA</t>
  </si>
  <si>
    <t>Gross Pay</t>
  </si>
  <si>
    <t>GPF</t>
  </si>
  <si>
    <t>SI</t>
  </si>
  <si>
    <t>Abdi</t>
  </si>
  <si>
    <t>Abishag</t>
  </si>
  <si>
    <t>Abishai</t>
  </si>
  <si>
    <t>Asahel</t>
  </si>
  <si>
    <t>Olivia</t>
  </si>
  <si>
    <t>Lidya</t>
  </si>
  <si>
    <t>David</t>
  </si>
  <si>
    <t>Total</t>
  </si>
  <si>
    <t>Net Salary</t>
  </si>
  <si>
    <t xml:space="preserve">          Deductions</t>
  </si>
  <si>
    <t xml:space="preserve">                                                                Earnings</t>
  </si>
  <si>
    <t xml:space="preserve">                                                                Jolis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</si>
</sst>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82A9-A423-420C-B2E4-3CB41511C0BD}">
  <dimension ref="A1:J11"/>
  <sheetViews>
    <sheetView tabSelected="1" workbookViewId="0">
      <selection activeCell="L6" sqref="L6"/>
    </sheetView>
  </sheetViews>
  <sheetFormatPr defaultRowHeight="14.5" x14ac:dyDescent="0.35"/>
  <cols>
    <col min="1" max="1" width="20" customWidth="1"/>
    <col min="2" max="2" width="18.26953125" customWidth="1"/>
    <col min="3" max="3" width="14" customWidth="1"/>
    <col min="4" max="4" width="13" customWidth="1"/>
    <col min="7" max="7" width="10.1796875" bestFit="1" customWidth="1"/>
  </cols>
  <sheetData>
    <row r="1" spans="1:10" x14ac:dyDescent="0.35">
      <c r="A1" s="2"/>
      <c r="B1" s="2"/>
      <c r="C1" s="2" t="s">
        <v>19</v>
      </c>
      <c r="D1" s="2"/>
      <c r="E1" s="3"/>
      <c r="F1" s="3"/>
      <c r="G1" s="3"/>
      <c r="H1" s="2"/>
      <c r="I1" s="2"/>
      <c r="J1" s="2"/>
    </row>
    <row r="2" spans="1:10" x14ac:dyDescent="0.35">
      <c r="A2" s="1"/>
      <c r="B2" s="1"/>
      <c r="C2" s="2" t="s">
        <v>18</v>
      </c>
      <c r="D2" s="2"/>
      <c r="E2" s="2"/>
      <c r="F2" s="2"/>
      <c r="G2" s="4" t="s">
        <v>17</v>
      </c>
      <c r="H2" s="4"/>
      <c r="I2" s="1" t="s">
        <v>15</v>
      </c>
      <c r="J2" s="1" t="s">
        <v>16</v>
      </c>
    </row>
    <row r="3" spans="1:10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/>
      <c r="J3" s="1"/>
    </row>
    <row r="4" spans="1:10" x14ac:dyDescent="0.35">
      <c r="A4" s="1">
        <v>1</v>
      </c>
      <c r="B4" s="1" t="s">
        <v>8</v>
      </c>
      <c r="C4" s="1">
        <v>987000</v>
      </c>
      <c r="D4" s="1">
        <f>(C4*16%)</f>
        <v>157920</v>
      </c>
      <c r="E4" s="1">
        <f>(C4*21%)</f>
        <v>207270</v>
      </c>
      <c r="F4" s="1">
        <v>1000</v>
      </c>
      <c r="G4" s="1">
        <f>(C4-8500)</f>
        <v>978500</v>
      </c>
      <c r="H4" s="1">
        <v>2000</v>
      </c>
      <c r="I4" s="1">
        <f>(G4+H4)</f>
        <v>980500</v>
      </c>
      <c r="J4" s="1">
        <f>(C4+D4+E4+F4-G4-H4)</f>
        <v>372690</v>
      </c>
    </row>
    <row r="5" spans="1:10" x14ac:dyDescent="0.35">
      <c r="A5" s="1">
        <v>2</v>
      </c>
      <c r="B5" s="1" t="s">
        <v>9</v>
      </c>
      <c r="C5" s="1">
        <v>765500</v>
      </c>
      <c r="D5" s="1">
        <f t="shared" ref="D5:D10" si="0">(C5*16%)</f>
        <v>122480</v>
      </c>
      <c r="E5" s="1">
        <f t="shared" ref="E5:E10" si="1">(C5*21%)</f>
        <v>160755</v>
      </c>
      <c r="F5" s="1">
        <v>1000</v>
      </c>
      <c r="G5" s="1">
        <f t="shared" ref="G5:G6" si="2">(C5-8500)</f>
        <v>757000</v>
      </c>
      <c r="H5" s="1">
        <v>2000</v>
      </c>
      <c r="I5" s="1">
        <f t="shared" ref="I5:I10" si="3">(G5+H5)</f>
        <v>759000</v>
      </c>
      <c r="J5" s="1">
        <f t="shared" ref="J5:J10" si="4">(C5+D5+E5+F5-G5-H5)</f>
        <v>290735</v>
      </c>
    </row>
    <row r="6" spans="1:10" x14ac:dyDescent="0.35">
      <c r="A6" s="1">
        <v>3</v>
      </c>
      <c r="B6" s="1" t="s">
        <v>10</v>
      </c>
      <c r="C6" s="1">
        <v>527500</v>
      </c>
      <c r="D6" s="1">
        <f t="shared" si="0"/>
        <v>84400</v>
      </c>
      <c r="E6" s="1">
        <f t="shared" si="1"/>
        <v>110775</v>
      </c>
      <c r="F6" s="1">
        <v>1000</v>
      </c>
      <c r="G6" s="1">
        <f t="shared" si="2"/>
        <v>519000</v>
      </c>
      <c r="H6" s="1">
        <v>2000</v>
      </c>
      <c r="I6" s="1">
        <f t="shared" si="3"/>
        <v>521000</v>
      </c>
      <c r="J6" s="1">
        <f t="shared" si="4"/>
        <v>202675</v>
      </c>
    </row>
    <row r="7" spans="1:10" x14ac:dyDescent="0.35">
      <c r="A7" s="1">
        <v>4</v>
      </c>
      <c r="B7" s="1" t="s">
        <v>11</v>
      </c>
      <c r="C7" s="1">
        <v>169500</v>
      </c>
      <c r="D7" s="1">
        <f t="shared" si="0"/>
        <v>27120</v>
      </c>
      <c r="E7" s="1">
        <f t="shared" si="1"/>
        <v>35595</v>
      </c>
      <c r="F7" s="1">
        <v>1000</v>
      </c>
      <c r="G7" s="1">
        <f>(C7-6000)</f>
        <v>163500</v>
      </c>
      <c r="H7" s="1">
        <v>2000</v>
      </c>
      <c r="I7" s="1">
        <f t="shared" si="3"/>
        <v>165500</v>
      </c>
      <c r="J7" s="1">
        <f t="shared" si="4"/>
        <v>67715</v>
      </c>
    </row>
    <row r="8" spans="1:10" x14ac:dyDescent="0.35">
      <c r="A8" s="1">
        <v>5</v>
      </c>
      <c r="B8" s="1" t="s">
        <v>12</v>
      </c>
      <c r="C8" s="1">
        <v>448000</v>
      </c>
      <c r="D8" s="1">
        <f t="shared" si="0"/>
        <v>71680</v>
      </c>
      <c r="E8" s="1">
        <f t="shared" si="1"/>
        <v>94080</v>
      </c>
      <c r="F8" s="1">
        <v>1000</v>
      </c>
      <c r="G8" s="1">
        <f t="shared" ref="G8:G10" si="5">(C8-6000)</f>
        <v>442000</v>
      </c>
      <c r="H8" s="1">
        <v>2000</v>
      </c>
      <c r="I8" s="1">
        <f t="shared" si="3"/>
        <v>444000</v>
      </c>
      <c r="J8" s="1">
        <f t="shared" si="4"/>
        <v>170760</v>
      </c>
    </row>
    <row r="9" spans="1:10" x14ac:dyDescent="0.35">
      <c r="A9" s="1">
        <v>6</v>
      </c>
      <c r="B9" s="1" t="s">
        <v>13</v>
      </c>
      <c r="C9" s="1">
        <v>330500</v>
      </c>
      <c r="D9" s="1">
        <f t="shared" si="0"/>
        <v>52880</v>
      </c>
      <c r="E9" s="1">
        <f t="shared" si="1"/>
        <v>69405</v>
      </c>
      <c r="F9" s="1">
        <v>1000</v>
      </c>
      <c r="G9" s="1">
        <f t="shared" si="5"/>
        <v>324500</v>
      </c>
      <c r="H9" s="1">
        <v>2000</v>
      </c>
      <c r="I9" s="1">
        <f t="shared" si="3"/>
        <v>326500</v>
      </c>
      <c r="J9" s="1">
        <f t="shared" si="4"/>
        <v>127285</v>
      </c>
    </row>
    <row r="10" spans="1:10" x14ac:dyDescent="0.35">
      <c r="A10" s="1">
        <v>7</v>
      </c>
      <c r="B10" s="1" t="s">
        <v>14</v>
      </c>
      <c r="C10" s="1">
        <v>124000</v>
      </c>
      <c r="D10" s="1">
        <f t="shared" si="0"/>
        <v>19840</v>
      </c>
      <c r="E10" s="1">
        <f t="shared" si="1"/>
        <v>26040</v>
      </c>
      <c r="F10" s="1">
        <v>1000</v>
      </c>
      <c r="G10" s="1">
        <f t="shared" si="5"/>
        <v>118000</v>
      </c>
      <c r="H10" s="1">
        <v>2000</v>
      </c>
      <c r="I10" s="1">
        <f t="shared" si="3"/>
        <v>120000</v>
      </c>
      <c r="J10" s="1">
        <f t="shared" si="4"/>
        <v>50880</v>
      </c>
    </row>
    <row r="11" spans="1:10" x14ac:dyDescent="0.35">
      <c r="A11" s="1" t="s">
        <v>15</v>
      </c>
      <c r="B11" s="1"/>
      <c r="C11" s="1"/>
      <c r="D11" s="1"/>
      <c r="E11" s="1"/>
      <c r="F11" s="1"/>
      <c r="G11" s="1"/>
      <c r="H11" s="1"/>
      <c r="I11" s="1"/>
      <c r="J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0BB0-4264-4FD9-A60F-19B554FA8D6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A56C-1FB2-4E7B-930A-153BA10EA78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79D8-E905-478C-9E87-805EED74373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0D35-C56D-4DE5-8D6B-DB2E9AC6D08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BF4C-DB59-4656-91B1-9E94B428FF1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num1</vt:lpstr>
      <vt:lpstr>Sheet3</vt:lpstr>
      <vt:lpstr>Sheet4</vt:lpstr>
      <vt:lpstr>Sheet5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Jolis academy</dc:creator>
  <cp:lastModifiedBy>Jolis academy</cp:lastModifiedBy>
  <dcterms:created xsi:type="dcterms:W3CDTF">2026-06-12T08:24:13Z</dcterms:created>
  <dcterms:modified xsi:type="dcterms:W3CDTF">2026-06-12T09:43:06Z</dcterms:modified>
</cp:coreProperties>
</file>